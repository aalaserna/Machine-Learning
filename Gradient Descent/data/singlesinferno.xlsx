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BSCS 4 - 2nd Sem\CMSC 197\data\"/>
    </mc:Choice>
  </mc:AlternateContent>
  <xr:revisionPtr revIDLastSave="0" documentId="13_ncr:1_{C893B5FF-8570-4415-B6A6-6904A1D36811}" xr6:coauthVersionLast="47" xr6:coauthVersionMax="47" xr10:uidLastSave="{00000000-0000-0000-0000-000000000000}"/>
  <bookViews>
    <workbookView xWindow="-108" yWindow="-108" windowWidth="23256" windowHeight="12456" activeTab="1" xr2:uid="{0B4EE76B-19E3-A845-899D-941E669F366E}"/>
  </bookViews>
  <sheets>
    <sheet name="original dataset" sheetId="1" r:id="rId1"/>
    <sheet name="bag of words" sheetId="2" r:id="rId2"/>
    <sheet name="stop wor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AJ20" i="2"/>
  <c r="AK20" i="2"/>
  <c r="AL20" i="2"/>
  <c r="AM20" i="2"/>
  <c r="AN20" i="2"/>
  <c r="AO20" i="2"/>
  <c r="AP20" i="2"/>
  <c r="AQ20" i="2"/>
  <c r="AR20" i="2"/>
  <c r="AS20" i="2"/>
  <c r="AT20" i="2"/>
  <c r="AU20" i="2"/>
  <c r="AV20" i="2"/>
  <c r="AW20" i="2"/>
  <c r="AX20" i="2"/>
  <c r="AY20" i="2"/>
  <c r="B20" i="2"/>
  <c r="B16" i="2" s="1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I18" i="2"/>
  <c r="I19" i="2" s="1"/>
  <c r="J18" i="2"/>
  <c r="J19" i="2" s="1"/>
  <c r="K18" i="2"/>
  <c r="K19" i="2" s="1"/>
  <c r="L18" i="2"/>
  <c r="L19" i="2" s="1"/>
  <c r="M18" i="2"/>
  <c r="M19" i="2" s="1"/>
  <c r="N18" i="2"/>
  <c r="N19" i="2" s="1"/>
  <c r="O18" i="2"/>
  <c r="O19" i="2" s="1"/>
  <c r="P18" i="2"/>
  <c r="P19" i="2" s="1"/>
  <c r="Q18" i="2"/>
  <c r="Q19" i="2" s="1"/>
  <c r="R18" i="2"/>
  <c r="R19" i="2" s="1"/>
  <c r="S18" i="2"/>
  <c r="S19" i="2" s="1"/>
  <c r="T18" i="2"/>
  <c r="T19" i="2" s="1"/>
  <c r="U18" i="2"/>
  <c r="U19" i="2" s="1"/>
  <c r="V18" i="2"/>
  <c r="V19" i="2" s="1"/>
  <c r="W18" i="2"/>
  <c r="W19" i="2" s="1"/>
  <c r="X18" i="2"/>
  <c r="X19" i="2" s="1"/>
  <c r="Y18" i="2"/>
  <c r="Y19" i="2" s="1"/>
  <c r="Z18" i="2"/>
  <c r="Z19" i="2" s="1"/>
  <c r="AA18" i="2"/>
  <c r="AA19" i="2" s="1"/>
  <c r="AB18" i="2"/>
  <c r="AB19" i="2" s="1"/>
  <c r="AC18" i="2"/>
  <c r="AC19" i="2" s="1"/>
  <c r="AD18" i="2"/>
  <c r="AD19" i="2" s="1"/>
  <c r="AE18" i="2"/>
  <c r="AE19" i="2" s="1"/>
  <c r="AF18" i="2"/>
  <c r="AF19" i="2" s="1"/>
  <c r="AG18" i="2"/>
  <c r="AG19" i="2" s="1"/>
  <c r="AH18" i="2"/>
  <c r="AH19" i="2" s="1"/>
  <c r="AI18" i="2"/>
  <c r="AI19" i="2" s="1"/>
  <c r="AJ18" i="2"/>
  <c r="AJ19" i="2" s="1"/>
  <c r="AK18" i="2"/>
  <c r="AK19" i="2" s="1"/>
  <c r="AL18" i="2"/>
  <c r="AL19" i="2" s="1"/>
  <c r="AM18" i="2"/>
  <c r="AM19" i="2" s="1"/>
  <c r="AN18" i="2"/>
  <c r="AN19" i="2" s="1"/>
  <c r="AO18" i="2"/>
  <c r="AO19" i="2" s="1"/>
  <c r="AP18" i="2"/>
  <c r="AP19" i="2" s="1"/>
  <c r="AQ18" i="2"/>
  <c r="AQ19" i="2" s="1"/>
  <c r="AR18" i="2"/>
  <c r="AR19" i="2" s="1"/>
  <c r="AS18" i="2"/>
  <c r="AS19" i="2" s="1"/>
  <c r="AT18" i="2"/>
  <c r="AT19" i="2" s="1"/>
  <c r="AU18" i="2"/>
  <c r="AU19" i="2" s="1"/>
  <c r="AV18" i="2"/>
  <c r="AV19" i="2" s="1"/>
  <c r="AW18" i="2"/>
  <c r="AW19" i="2" s="1"/>
  <c r="AX18" i="2"/>
  <c r="AX19" i="2" s="1"/>
  <c r="AY18" i="2"/>
  <c r="AY19" i="2" s="1"/>
  <c r="B18" i="2"/>
  <c r="B28" i="2" s="1"/>
  <c r="C18" i="2"/>
  <c r="C19" i="2" s="1"/>
  <c r="D18" i="2"/>
  <c r="D19" i="2" s="1"/>
  <c r="E18" i="2"/>
  <c r="E19" i="2" s="1"/>
  <c r="F18" i="2"/>
  <c r="F19" i="2" s="1"/>
  <c r="G18" i="2"/>
  <c r="G19" i="2" s="1"/>
  <c r="H18" i="2"/>
  <c r="H19" i="2" s="1"/>
  <c r="AS14" i="2"/>
  <c r="AS15" i="2" s="1"/>
  <c r="AT14" i="2"/>
  <c r="AT15" i="2" s="1"/>
  <c r="AU14" i="2"/>
  <c r="AU15" i="2" s="1"/>
  <c r="AV14" i="2"/>
  <c r="AV15" i="2" s="1"/>
  <c r="AW14" i="2"/>
  <c r="AW15" i="2" s="1"/>
  <c r="AX14" i="2"/>
  <c r="AX15" i="2" s="1"/>
  <c r="AY14" i="2"/>
  <c r="AY15" i="2" s="1"/>
  <c r="AK14" i="2"/>
  <c r="AK15" i="2" s="1"/>
  <c r="AL14" i="2"/>
  <c r="AL15" i="2" s="1"/>
  <c r="AM14" i="2"/>
  <c r="AM15" i="2" s="1"/>
  <c r="AN14" i="2"/>
  <c r="AN15" i="2" s="1"/>
  <c r="AO14" i="2"/>
  <c r="AO15" i="2" s="1"/>
  <c r="AP14" i="2"/>
  <c r="AP15" i="2" s="1"/>
  <c r="AQ14" i="2"/>
  <c r="AQ15" i="2" s="1"/>
  <c r="AR14" i="2"/>
  <c r="AR15" i="2" s="1"/>
  <c r="AA14" i="2"/>
  <c r="AA15" i="2" s="1"/>
  <c r="AB14" i="2"/>
  <c r="AB15" i="2" s="1"/>
  <c r="AC14" i="2"/>
  <c r="AC15" i="2" s="1"/>
  <c r="AD14" i="2"/>
  <c r="AD15" i="2" s="1"/>
  <c r="AE14" i="2"/>
  <c r="AE15" i="2" s="1"/>
  <c r="AF14" i="2"/>
  <c r="AF15" i="2" s="1"/>
  <c r="AG14" i="2"/>
  <c r="AG15" i="2" s="1"/>
  <c r="AH14" i="2"/>
  <c r="AH15" i="2" s="1"/>
  <c r="AI14" i="2"/>
  <c r="AI15" i="2" s="1"/>
  <c r="AJ14" i="2"/>
  <c r="AJ15" i="2" s="1"/>
  <c r="J14" i="2"/>
  <c r="J15" i="2" s="1"/>
  <c r="K14" i="2"/>
  <c r="K15" i="2" s="1"/>
  <c r="L14" i="2"/>
  <c r="L15" i="2" s="1"/>
  <c r="M14" i="2"/>
  <c r="M15" i="2" s="1"/>
  <c r="N14" i="2"/>
  <c r="N15" i="2" s="1"/>
  <c r="O14" i="2"/>
  <c r="O15" i="2" s="1"/>
  <c r="P14" i="2"/>
  <c r="P15" i="2" s="1"/>
  <c r="Q14" i="2"/>
  <c r="Q15" i="2" s="1"/>
  <c r="R14" i="2"/>
  <c r="R15" i="2" s="1"/>
  <c r="S14" i="2"/>
  <c r="S15" i="2" s="1"/>
  <c r="T14" i="2"/>
  <c r="T15" i="2" s="1"/>
  <c r="U14" i="2"/>
  <c r="U15" i="2" s="1"/>
  <c r="V14" i="2"/>
  <c r="V15" i="2" s="1"/>
  <c r="W14" i="2"/>
  <c r="W15" i="2" s="1"/>
  <c r="X14" i="2"/>
  <c r="X15" i="2" s="1"/>
  <c r="Y14" i="2"/>
  <c r="Y15" i="2" s="1"/>
  <c r="Z14" i="2"/>
  <c r="Z15" i="2" s="1"/>
  <c r="C14" i="2"/>
  <c r="C15" i="2" s="1"/>
  <c r="D14" i="2"/>
  <c r="D15" i="2" s="1"/>
  <c r="E14" i="2"/>
  <c r="E15" i="2" s="1"/>
  <c r="F14" i="2"/>
  <c r="F15" i="2" s="1"/>
  <c r="G14" i="2"/>
  <c r="G15" i="2" s="1"/>
  <c r="H14" i="2"/>
  <c r="H15" i="2" s="1"/>
  <c r="I14" i="2"/>
  <c r="I15" i="2" s="1"/>
  <c r="B14" i="2"/>
  <c r="B15" i="2" s="1"/>
  <c r="B19" i="2" l="1"/>
</calcChain>
</file>

<file path=xl/sharedStrings.xml><?xml version="1.0" encoding="utf-8"?>
<sst xmlns="http://schemas.openxmlformats.org/spreadsheetml/2006/main" count="70" uniqueCount="67">
  <si>
    <t>I could not stop looking at you during the bonfire tonight</t>
  </si>
  <si>
    <t>I was disappointed when you chose someone else for paradise</t>
  </si>
  <si>
    <t>Being next to you makes me forget about everyone else here</t>
  </si>
  <si>
    <t>I feel nervous every time I have to reveal my choice</t>
  </si>
  <si>
    <t>I want to be the person you walk to when the selection starts</t>
  </si>
  <si>
    <t>I get jealous seeing you laugh with him</t>
  </si>
  <si>
    <t>The heat today made the challenge more difficult</t>
  </si>
  <si>
    <t>We should coordinate our cooking duties for dinner</t>
  </si>
  <si>
    <t>Everyone seems more competitive after the last selection</t>
  </si>
  <si>
    <t>I am trying to understand everyone’s personalities first</t>
  </si>
  <si>
    <t>text</t>
  </si>
  <si>
    <t>label</t>
  </si>
  <si>
    <t>after</t>
  </si>
  <si>
    <t>bonfire</t>
  </si>
  <si>
    <t>challenge</t>
  </si>
  <si>
    <t>choice</t>
  </si>
  <si>
    <t>chose</t>
  </si>
  <si>
    <t>competitive</t>
  </si>
  <si>
    <t>cooking</t>
  </si>
  <si>
    <t>coordinate</t>
  </si>
  <si>
    <t>could</t>
  </si>
  <si>
    <t>difficult</t>
  </si>
  <si>
    <t>dinner</t>
  </si>
  <si>
    <t>disappointed</t>
  </si>
  <si>
    <t>during</t>
  </si>
  <si>
    <t>duties</t>
  </si>
  <si>
    <t>else</t>
  </si>
  <si>
    <t>everyone</t>
  </si>
  <si>
    <t>everyones</t>
  </si>
  <si>
    <t>feel</t>
  </si>
  <si>
    <t>first</t>
  </si>
  <si>
    <t>forget</t>
  </si>
  <si>
    <t>get</t>
  </si>
  <si>
    <t>heat</t>
  </si>
  <si>
    <t>him</t>
  </si>
  <si>
    <t>jealous</t>
  </si>
  <si>
    <t>last</t>
  </si>
  <si>
    <t>laugh</t>
  </si>
  <si>
    <t>looking</t>
  </si>
  <si>
    <t>made</t>
  </si>
  <si>
    <t>makes</t>
  </si>
  <si>
    <t>nervous</t>
  </si>
  <si>
    <t>next</t>
  </si>
  <si>
    <t>not</t>
  </si>
  <si>
    <t>paradise</t>
  </si>
  <si>
    <t>person</t>
  </si>
  <si>
    <t>personalities</t>
  </si>
  <si>
    <t>reveal</t>
  </si>
  <si>
    <t>seeing</t>
  </si>
  <si>
    <t>seems</t>
  </si>
  <si>
    <t>selection</t>
  </si>
  <si>
    <t>should</t>
  </si>
  <si>
    <t>someone</t>
  </si>
  <si>
    <t>starts</t>
  </si>
  <si>
    <t>stop</t>
  </si>
  <si>
    <t>time</t>
  </si>
  <si>
    <t>today</t>
  </si>
  <si>
    <t>tonight</t>
  </si>
  <si>
    <t>trying</t>
  </si>
  <si>
    <t>understand</t>
  </si>
  <si>
    <t>walk</t>
  </si>
  <si>
    <t>want</t>
  </si>
  <si>
    <t>sum</t>
  </si>
  <si>
    <t>i,"me","my","we","our","you","your","he","she","they","them","his","her",
    "to","the","a","an","is","are","was","were","be","been","being","am","this",
    "that","here","there","when","where","who","what","which","and","or","but","if",
    "because","as","of","in","on","at","with","for","from","by","about","than","very",
    "more","most","each","every","all","have","has","had","do","does","did"</t>
  </si>
  <si>
    <t>Neutral</t>
  </si>
  <si>
    <t>Romantic</t>
  </si>
  <si>
    <t>Laplace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</si>
</sst>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2DA6-5E02-AA48-AB27-0453CE4D02A7}">
  <dimension ref="A1:B11"/>
  <sheetViews>
    <sheetView workbookViewId="0">
      <selection activeCell="C23" sqref="C23"/>
    </sheetView>
  </sheetViews>
  <sheetFormatPr defaultColWidth="11.19921875" defaultRowHeight="15.6" x14ac:dyDescent="0.3"/>
  <cols>
    <col min="1" max="1" width="59.19921875" customWidth="1"/>
    <col min="2" max="2" width="10.796875" style="1"/>
  </cols>
  <sheetData>
    <row r="1" spans="1:2" x14ac:dyDescent="0.3">
      <c r="A1" t="s">
        <v>10</v>
      </c>
      <c r="B1" s="1" t="s">
        <v>11</v>
      </c>
    </row>
    <row r="2" spans="1:2" x14ac:dyDescent="0.3">
      <c r="A2" t="s">
        <v>0</v>
      </c>
      <c r="B2" s="1">
        <v>1</v>
      </c>
    </row>
    <row r="3" spans="1:2" x14ac:dyDescent="0.3">
      <c r="A3" t="s">
        <v>1</v>
      </c>
      <c r="B3" s="1">
        <v>1</v>
      </c>
    </row>
    <row r="4" spans="1:2" x14ac:dyDescent="0.3">
      <c r="A4" t="s">
        <v>2</v>
      </c>
      <c r="B4" s="1">
        <v>1</v>
      </c>
    </row>
    <row r="5" spans="1:2" x14ac:dyDescent="0.3">
      <c r="A5" t="s">
        <v>3</v>
      </c>
      <c r="B5" s="1">
        <v>1</v>
      </c>
    </row>
    <row r="6" spans="1:2" x14ac:dyDescent="0.3">
      <c r="A6" t="s">
        <v>4</v>
      </c>
      <c r="B6" s="1">
        <v>1</v>
      </c>
    </row>
    <row r="7" spans="1:2" x14ac:dyDescent="0.3">
      <c r="A7" t="s">
        <v>5</v>
      </c>
      <c r="B7" s="1">
        <v>1</v>
      </c>
    </row>
    <row r="8" spans="1:2" x14ac:dyDescent="0.3">
      <c r="A8" t="s">
        <v>6</v>
      </c>
      <c r="B8" s="1">
        <v>0</v>
      </c>
    </row>
    <row r="9" spans="1:2" x14ac:dyDescent="0.3">
      <c r="A9" t="s">
        <v>7</v>
      </c>
      <c r="B9" s="1">
        <v>0</v>
      </c>
    </row>
    <row r="10" spans="1:2" x14ac:dyDescent="0.3">
      <c r="A10" t="s">
        <v>8</v>
      </c>
      <c r="B10" s="1">
        <v>0</v>
      </c>
    </row>
    <row r="11" spans="1:2" x14ac:dyDescent="0.3">
      <c r="A11" t="s">
        <v>9</v>
      </c>
      <c r="B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9FFBD-B85F-9948-B64D-7F17287BF533}">
  <dimension ref="A1:AZ38"/>
  <sheetViews>
    <sheetView tabSelected="1" topLeftCell="AJ1" zoomScale="82" zoomScaleNormal="143" workbookViewId="0">
      <selection sqref="A1:AZ20"/>
    </sheetView>
  </sheetViews>
  <sheetFormatPr defaultColWidth="11.19921875" defaultRowHeight="15.6" x14ac:dyDescent="0.3"/>
  <cols>
    <col min="1" max="1" width="55.8984375" customWidth="1"/>
  </cols>
  <sheetData>
    <row r="1" spans="1:52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</row>
    <row r="2" spans="1:52" x14ac:dyDescent="0.3">
      <c r="A2">
        <v>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0</v>
      </c>
      <c r="AZ2">
        <v>7</v>
      </c>
    </row>
    <row r="3" spans="1:52" x14ac:dyDescent="0.3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5</v>
      </c>
    </row>
    <row r="4" spans="1:52" x14ac:dyDescent="0.3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5</v>
      </c>
    </row>
    <row r="5" spans="1:52" x14ac:dyDescent="0.3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5</v>
      </c>
    </row>
    <row r="6" spans="1:52" x14ac:dyDescent="0.3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1</v>
      </c>
      <c r="AZ6">
        <v>5</v>
      </c>
    </row>
    <row r="7" spans="1:52" x14ac:dyDescent="0.3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1</v>
      </c>
      <c r="Y7">
        <v>1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5</v>
      </c>
    </row>
    <row r="8" spans="1:52" x14ac:dyDescent="0.3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5</v>
      </c>
    </row>
    <row r="9" spans="1:52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1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5</v>
      </c>
    </row>
    <row r="10" spans="1:52" x14ac:dyDescent="0.3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6</v>
      </c>
    </row>
    <row r="11" spans="1:52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1</v>
      </c>
      <c r="AX11">
        <v>0</v>
      </c>
      <c r="AY11">
        <v>0</v>
      </c>
      <c r="AZ11">
        <v>5</v>
      </c>
    </row>
    <row r="14" spans="1:52" x14ac:dyDescent="0.3">
      <c r="A14" t="s">
        <v>64</v>
      </c>
      <c r="B14">
        <f>SUM(B8:B11)</f>
        <v>1</v>
      </c>
      <c r="C14">
        <f t="shared" ref="C14:AY14" si="0">SUM(C8:C11)</f>
        <v>0</v>
      </c>
      <c r="D14">
        <f t="shared" si="0"/>
        <v>1</v>
      </c>
      <c r="E14">
        <f t="shared" si="0"/>
        <v>0</v>
      </c>
      <c r="F14">
        <f t="shared" si="0"/>
        <v>0</v>
      </c>
      <c r="G14">
        <f t="shared" si="0"/>
        <v>1</v>
      </c>
      <c r="H14">
        <f t="shared" si="0"/>
        <v>1</v>
      </c>
      <c r="I14">
        <f t="shared" si="0"/>
        <v>1</v>
      </c>
      <c r="J14">
        <f t="shared" si="0"/>
        <v>0</v>
      </c>
      <c r="K14">
        <f t="shared" si="0"/>
        <v>1</v>
      </c>
      <c r="L14">
        <f t="shared" si="0"/>
        <v>1</v>
      </c>
      <c r="M14">
        <f t="shared" si="0"/>
        <v>0</v>
      </c>
      <c r="N14">
        <f t="shared" si="0"/>
        <v>0</v>
      </c>
      <c r="O14">
        <f t="shared" si="0"/>
        <v>1</v>
      </c>
      <c r="P14">
        <f t="shared" si="0"/>
        <v>0</v>
      </c>
      <c r="Q14">
        <f t="shared" si="0"/>
        <v>1</v>
      </c>
      <c r="R14">
        <f t="shared" si="0"/>
        <v>1</v>
      </c>
      <c r="S14">
        <f t="shared" si="0"/>
        <v>0</v>
      </c>
      <c r="T14">
        <f t="shared" si="0"/>
        <v>1</v>
      </c>
      <c r="U14">
        <f t="shared" si="0"/>
        <v>0</v>
      </c>
      <c r="V14">
        <f t="shared" si="0"/>
        <v>0</v>
      </c>
      <c r="W14">
        <f t="shared" si="0"/>
        <v>1</v>
      </c>
      <c r="X14">
        <f t="shared" si="0"/>
        <v>0</v>
      </c>
      <c r="Y14">
        <f t="shared" si="0"/>
        <v>0</v>
      </c>
      <c r="Z14">
        <f t="shared" si="0"/>
        <v>1</v>
      </c>
      <c r="AA14">
        <f>SUM(AA8:AA11)</f>
        <v>0</v>
      </c>
      <c r="AB14">
        <f t="shared" si="0"/>
        <v>0</v>
      </c>
      <c r="AC14">
        <f t="shared" si="0"/>
        <v>1</v>
      </c>
      <c r="AD14">
        <f t="shared" si="0"/>
        <v>0</v>
      </c>
      <c r="AE14">
        <f t="shared" si="0"/>
        <v>0</v>
      </c>
      <c r="AF14">
        <f t="shared" si="0"/>
        <v>0</v>
      </c>
      <c r="AG14">
        <f t="shared" si="0"/>
        <v>0</v>
      </c>
      <c r="AH14">
        <f t="shared" si="0"/>
        <v>0</v>
      </c>
      <c r="AI14">
        <f t="shared" si="0"/>
        <v>0</v>
      </c>
      <c r="AJ14">
        <f t="shared" si="0"/>
        <v>1</v>
      </c>
      <c r="AK14">
        <f t="shared" si="0"/>
        <v>0</v>
      </c>
      <c r="AL14">
        <f t="shared" si="0"/>
        <v>0</v>
      </c>
      <c r="AM14">
        <f t="shared" si="0"/>
        <v>1</v>
      </c>
      <c r="AN14">
        <f t="shared" si="0"/>
        <v>1</v>
      </c>
      <c r="AO14">
        <f t="shared" si="0"/>
        <v>1</v>
      </c>
      <c r="AP14">
        <f t="shared" si="0"/>
        <v>0</v>
      </c>
      <c r="AQ14">
        <f t="shared" si="0"/>
        <v>0</v>
      </c>
      <c r="AR14">
        <f t="shared" si="0"/>
        <v>0</v>
      </c>
      <c r="AS14">
        <f t="shared" si="0"/>
        <v>0</v>
      </c>
      <c r="AT14">
        <f t="shared" si="0"/>
        <v>1</v>
      </c>
      <c r="AU14">
        <f t="shared" si="0"/>
        <v>0</v>
      </c>
      <c r="AV14">
        <f t="shared" si="0"/>
        <v>1</v>
      </c>
      <c r="AW14">
        <f t="shared" si="0"/>
        <v>1</v>
      </c>
      <c r="AX14">
        <f t="shared" si="0"/>
        <v>0</v>
      </c>
      <c r="AY14">
        <f t="shared" si="0"/>
        <v>0</v>
      </c>
    </row>
    <row r="15" spans="1:52" x14ac:dyDescent="0.3">
      <c r="B15">
        <f>B14/21</f>
        <v>4.7619047619047616E-2</v>
      </c>
      <c r="C15">
        <f t="shared" ref="C15:AY15" si="1">C14/21</f>
        <v>0</v>
      </c>
      <c r="D15">
        <f t="shared" si="1"/>
        <v>4.7619047619047616E-2</v>
      </c>
      <c r="E15">
        <f t="shared" si="1"/>
        <v>0</v>
      </c>
      <c r="F15">
        <f t="shared" si="1"/>
        <v>0</v>
      </c>
      <c r="G15">
        <f t="shared" si="1"/>
        <v>4.7619047619047616E-2</v>
      </c>
      <c r="H15">
        <f t="shared" si="1"/>
        <v>4.7619047619047616E-2</v>
      </c>
      <c r="I15">
        <f t="shared" si="1"/>
        <v>4.7619047619047616E-2</v>
      </c>
      <c r="J15">
        <f t="shared" si="1"/>
        <v>0</v>
      </c>
      <c r="K15">
        <f t="shared" si="1"/>
        <v>4.7619047619047616E-2</v>
      </c>
      <c r="L15">
        <f t="shared" si="1"/>
        <v>4.7619047619047616E-2</v>
      </c>
      <c r="M15">
        <f t="shared" si="1"/>
        <v>0</v>
      </c>
      <c r="N15">
        <f t="shared" si="1"/>
        <v>0</v>
      </c>
      <c r="O15">
        <f t="shared" si="1"/>
        <v>4.7619047619047616E-2</v>
      </c>
      <c r="P15">
        <f t="shared" si="1"/>
        <v>0</v>
      </c>
      <c r="Q15">
        <f t="shared" si="1"/>
        <v>4.7619047619047616E-2</v>
      </c>
      <c r="R15">
        <f t="shared" si="1"/>
        <v>4.7619047619047616E-2</v>
      </c>
      <c r="S15">
        <f t="shared" si="1"/>
        <v>0</v>
      </c>
      <c r="T15">
        <f t="shared" si="1"/>
        <v>4.7619047619047616E-2</v>
      </c>
      <c r="U15">
        <f t="shared" si="1"/>
        <v>0</v>
      </c>
      <c r="V15">
        <f t="shared" si="1"/>
        <v>0</v>
      </c>
      <c r="W15">
        <f t="shared" si="1"/>
        <v>4.7619047619047616E-2</v>
      </c>
      <c r="X15">
        <f t="shared" si="1"/>
        <v>0</v>
      </c>
      <c r="Y15">
        <f t="shared" si="1"/>
        <v>0</v>
      </c>
      <c r="Z15">
        <f t="shared" si="1"/>
        <v>4.7619047619047616E-2</v>
      </c>
      <c r="AA15">
        <f t="shared" si="1"/>
        <v>0</v>
      </c>
      <c r="AB15">
        <f t="shared" si="1"/>
        <v>0</v>
      </c>
      <c r="AC15">
        <f t="shared" si="1"/>
        <v>4.7619047619047616E-2</v>
      </c>
      <c r="AD15">
        <f t="shared" si="1"/>
        <v>0</v>
      </c>
      <c r="AE15">
        <f t="shared" si="1"/>
        <v>0</v>
      </c>
      <c r="AF15">
        <f t="shared" si="1"/>
        <v>0</v>
      </c>
      <c r="AG15">
        <f t="shared" si="1"/>
        <v>0</v>
      </c>
      <c r="AH15">
        <f t="shared" si="1"/>
        <v>0</v>
      </c>
      <c r="AI15">
        <f t="shared" si="1"/>
        <v>0</v>
      </c>
      <c r="AJ15">
        <f t="shared" si="1"/>
        <v>4.7619047619047616E-2</v>
      </c>
      <c r="AK15">
        <f t="shared" si="1"/>
        <v>0</v>
      </c>
      <c r="AL15">
        <f t="shared" si="1"/>
        <v>0</v>
      </c>
      <c r="AM15">
        <f t="shared" si="1"/>
        <v>4.7619047619047616E-2</v>
      </c>
      <c r="AN15">
        <f t="shared" si="1"/>
        <v>4.7619047619047616E-2</v>
      </c>
      <c r="AO15">
        <f t="shared" si="1"/>
        <v>4.7619047619047616E-2</v>
      </c>
      <c r="AP15">
        <f t="shared" si="1"/>
        <v>0</v>
      </c>
      <c r="AQ15">
        <f t="shared" si="1"/>
        <v>0</v>
      </c>
      <c r="AR15">
        <f t="shared" si="1"/>
        <v>0</v>
      </c>
      <c r="AS15">
        <f t="shared" si="1"/>
        <v>0</v>
      </c>
      <c r="AT15">
        <f t="shared" si="1"/>
        <v>4.7619047619047616E-2</v>
      </c>
      <c r="AU15">
        <f t="shared" si="1"/>
        <v>0</v>
      </c>
      <c r="AV15">
        <f t="shared" si="1"/>
        <v>4.7619047619047616E-2</v>
      </c>
      <c r="AW15">
        <f t="shared" si="1"/>
        <v>4.7619047619047616E-2</v>
      </c>
      <c r="AX15">
        <f t="shared" si="1"/>
        <v>0</v>
      </c>
      <c r="AY15">
        <f t="shared" si="1"/>
        <v>0</v>
      </c>
    </row>
    <row r="16" spans="1:52" x14ac:dyDescent="0.3">
      <c r="A16" t="s">
        <v>66</v>
      </c>
      <c r="B16">
        <f>B20</f>
        <v>1.4084507042253521E-2</v>
      </c>
      <c r="C16">
        <f t="shared" ref="C16:AY16" si="2">(C14 + 1)/ (21+50+1)</f>
        <v>1.3888888888888888E-2</v>
      </c>
      <c r="D16">
        <f t="shared" si="2"/>
        <v>2.7777777777777776E-2</v>
      </c>
      <c r="E16">
        <f t="shared" si="2"/>
        <v>1.3888888888888888E-2</v>
      </c>
      <c r="F16">
        <f t="shared" si="2"/>
        <v>1.3888888888888888E-2</v>
      </c>
      <c r="G16">
        <f t="shared" si="2"/>
        <v>2.7777777777777776E-2</v>
      </c>
      <c r="H16">
        <f t="shared" si="2"/>
        <v>2.7777777777777776E-2</v>
      </c>
      <c r="I16">
        <f t="shared" si="2"/>
        <v>2.7777777777777776E-2</v>
      </c>
      <c r="J16">
        <f t="shared" si="2"/>
        <v>1.3888888888888888E-2</v>
      </c>
      <c r="K16">
        <f t="shared" si="2"/>
        <v>2.7777777777777776E-2</v>
      </c>
      <c r="L16">
        <f t="shared" si="2"/>
        <v>2.7777777777777776E-2</v>
      </c>
      <c r="M16">
        <f t="shared" si="2"/>
        <v>1.3888888888888888E-2</v>
      </c>
      <c r="N16">
        <f t="shared" si="2"/>
        <v>1.3888888888888888E-2</v>
      </c>
      <c r="O16">
        <f t="shared" si="2"/>
        <v>2.7777777777777776E-2</v>
      </c>
      <c r="P16">
        <f t="shared" si="2"/>
        <v>1.3888888888888888E-2</v>
      </c>
      <c r="Q16">
        <f t="shared" si="2"/>
        <v>2.7777777777777776E-2</v>
      </c>
      <c r="R16">
        <f t="shared" si="2"/>
        <v>2.7777777777777776E-2</v>
      </c>
      <c r="S16">
        <f t="shared" si="2"/>
        <v>1.3888888888888888E-2</v>
      </c>
      <c r="T16">
        <f t="shared" si="2"/>
        <v>2.7777777777777776E-2</v>
      </c>
      <c r="U16">
        <f t="shared" si="2"/>
        <v>1.3888888888888888E-2</v>
      </c>
      <c r="V16">
        <f t="shared" si="2"/>
        <v>1.3888888888888888E-2</v>
      </c>
      <c r="W16">
        <f t="shared" si="2"/>
        <v>2.7777777777777776E-2</v>
      </c>
      <c r="X16">
        <f t="shared" si="2"/>
        <v>1.3888888888888888E-2</v>
      </c>
      <c r="Y16">
        <f t="shared" si="2"/>
        <v>1.3888888888888888E-2</v>
      </c>
      <c r="Z16">
        <f t="shared" si="2"/>
        <v>2.7777777777777776E-2</v>
      </c>
      <c r="AA16">
        <f t="shared" si="2"/>
        <v>1.3888888888888888E-2</v>
      </c>
      <c r="AB16">
        <f t="shared" si="2"/>
        <v>1.3888888888888888E-2</v>
      </c>
      <c r="AC16">
        <f t="shared" si="2"/>
        <v>2.7777777777777776E-2</v>
      </c>
      <c r="AD16">
        <f t="shared" si="2"/>
        <v>1.3888888888888888E-2</v>
      </c>
      <c r="AE16">
        <f t="shared" si="2"/>
        <v>1.3888888888888888E-2</v>
      </c>
      <c r="AF16">
        <f t="shared" si="2"/>
        <v>1.3888888888888888E-2</v>
      </c>
      <c r="AG16">
        <f t="shared" si="2"/>
        <v>1.3888888888888888E-2</v>
      </c>
      <c r="AH16">
        <f t="shared" si="2"/>
        <v>1.3888888888888888E-2</v>
      </c>
      <c r="AI16">
        <f t="shared" si="2"/>
        <v>1.3888888888888888E-2</v>
      </c>
      <c r="AJ16">
        <f t="shared" si="2"/>
        <v>2.7777777777777776E-2</v>
      </c>
      <c r="AK16">
        <f t="shared" si="2"/>
        <v>1.3888888888888888E-2</v>
      </c>
      <c r="AL16">
        <f t="shared" si="2"/>
        <v>1.3888888888888888E-2</v>
      </c>
      <c r="AM16">
        <f t="shared" si="2"/>
        <v>2.7777777777777776E-2</v>
      </c>
      <c r="AN16">
        <f t="shared" si="2"/>
        <v>2.7777777777777776E-2</v>
      </c>
      <c r="AO16">
        <f t="shared" si="2"/>
        <v>2.7777777777777776E-2</v>
      </c>
      <c r="AP16">
        <f t="shared" si="2"/>
        <v>1.3888888888888888E-2</v>
      </c>
      <c r="AQ16">
        <f t="shared" si="2"/>
        <v>1.3888888888888888E-2</v>
      </c>
      <c r="AR16">
        <f t="shared" si="2"/>
        <v>1.3888888888888888E-2</v>
      </c>
      <c r="AS16">
        <f t="shared" si="2"/>
        <v>1.3888888888888888E-2</v>
      </c>
      <c r="AT16">
        <f t="shared" si="2"/>
        <v>2.7777777777777776E-2</v>
      </c>
      <c r="AU16">
        <f t="shared" si="2"/>
        <v>1.3888888888888888E-2</v>
      </c>
      <c r="AV16">
        <f t="shared" si="2"/>
        <v>2.7777777777777776E-2</v>
      </c>
      <c r="AW16">
        <f t="shared" si="2"/>
        <v>2.7777777777777776E-2</v>
      </c>
      <c r="AX16">
        <f t="shared" si="2"/>
        <v>1.3888888888888888E-2</v>
      </c>
      <c r="AY16">
        <f t="shared" si="2"/>
        <v>1.3888888888888888E-2</v>
      </c>
    </row>
    <row r="18" spans="1:51" x14ac:dyDescent="0.3">
      <c r="A18" t="s">
        <v>65</v>
      </c>
      <c r="B18">
        <f>SUM(B2:B7)</f>
        <v>0</v>
      </c>
      <c r="C18">
        <f>SUM(B2:B7)</f>
        <v>0</v>
      </c>
      <c r="D18">
        <f>SUM(C2:C7)</f>
        <v>1</v>
      </c>
      <c r="E18">
        <f>SUM(D2:D7)</f>
        <v>0</v>
      </c>
      <c r="F18">
        <f>SUM(E2:E7)</f>
        <v>1</v>
      </c>
      <c r="G18">
        <f>SUM(F2:F7)</f>
        <v>1</v>
      </c>
      <c r="H18">
        <f>SUM(G2:G7)</f>
        <v>0</v>
      </c>
      <c r="I18">
        <f>SUM(H2:H7)</f>
        <v>0</v>
      </c>
      <c r="J18">
        <f>SUM(I2:I7)</f>
        <v>0</v>
      </c>
      <c r="K18">
        <f>SUM(J2:J7)</f>
        <v>1</v>
      </c>
      <c r="L18">
        <f>SUM(K2:K7)</f>
        <v>0</v>
      </c>
      <c r="M18">
        <f>SUM(L2:L7)</f>
        <v>0</v>
      </c>
      <c r="N18">
        <f>SUM(M2:M7)</f>
        <v>1</v>
      </c>
      <c r="O18">
        <f>SUM(N2:N7)</f>
        <v>1</v>
      </c>
      <c r="P18">
        <f>SUM(O2:O7)</f>
        <v>0</v>
      </c>
      <c r="Q18">
        <f>SUM(P2:P7)</f>
        <v>2</v>
      </c>
      <c r="R18">
        <f>SUM(Q2:Q7)</f>
        <v>1</v>
      </c>
      <c r="S18">
        <f>SUM(R2:R7)</f>
        <v>0</v>
      </c>
      <c r="T18">
        <f>SUM(S2:S7)</f>
        <v>1</v>
      </c>
      <c r="U18">
        <f>SUM(T2:T7)</f>
        <v>0</v>
      </c>
      <c r="V18">
        <f>SUM(U2:U7)</f>
        <v>1</v>
      </c>
      <c r="W18">
        <f>SUM(V2:V7)</f>
        <v>1</v>
      </c>
      <c r="X18">
        <f>SUM(W2:W7)</f>
        <v>0</v>
      </c>
      <c r="Y18">
        <f>SUM(X2:X7)</f>
        <v>1</v>
      </c>
      <c r="Z18">
        <f>SUM(Y2:Y7)</f>
        <v>1</v>
      </c>
      <c r="AA18">
        <f>SUM(Z2:Z7)</f>
        <v>0</v>
      </c>
      <c r="AB18">
        <f>SUM(AA2:AA7)</f>
        <v>1</v>
      </c>
      <c r="AC18">
        <f>SUM(AB2:AB7)</f>
        <v>1</v>
      </c>
      <c r="AD18">
        <f>SUM(AC2:AC7)</f>
        <v>0</v>
      </c>
      <c r="AE18">
        <f>SUM(AD2:AD7)</f>
        <v>1</v>
      </c>
      <c r="AF18">
        <f>SUM(AE2:AE7)</f>
        <v>1</v>
      </c>
      <c r="AG18">
        <f>SUM(AF2:AF7)</f>
        <v>1</v>
      </c>
      <c r="AH18">
        <f>SUM(AG2:AG7)</f>
        <v>1</v>
      </c>
      <c r="AI18">
        <f>SUM(AH2:AH7)</f>
        <v>1</v>
      </c>
      <c r="AJ18">
        <f>SUM(AI2:AI7)</f>
        <v>1</v>
      </c>
      <c r="AK18">
        <f>SUM(AJ2:AJ7)</f>
        <v>0</v>
      </c>
      <c r="AL18">
        <f>SUM(AK2:AK7)</f>
        <v>1</v>
      </c>
      <c r="AM18">
        <f>SUM(AL2:AL7)</f>
        <v>1</v>
      </c>
      <c r="AN18">
        <f>SUM(AM2:AM7)</f>
        <v>0</v>
      </c>
      <c r="AO18">
        <f>SUM(AN2:AN7)</f>
        <v>1</v>
      </c>
      <c r="AP18">
        <f>SUM(AO2:AO7)</f>
        <v>0</v>
      </c>
      <c r="AQ18">
        <f>SUM(AP2:AP7)</f>
        <v>1</v>
      </c>
      <c r="AR18">
        <f>SUM(AQ2:AQ7)</f>
        <v>1</v>
      </c>
      <c r="AS18">
        <f>SUM(AR2:AR7)</f>
        <v>1</v>
      </c>
      <c r="AT18">
        <f>SUM(AS2:AS7)</f>
        <v>1</v>
      </c>
      <c r="AU18">
        <f>SUM(AT2:AT7)</f>
        <v>0</v>
      </c>
      <c r="AV18">
        <f>SUM(AU2:AU7)</f>
        <v>1</v>
      </c>
      <c r="AW18">
        <f>SUM(AV2:AV7)</f>
        <v>0</v>
      </c>
      <c r="AX18">
        <f>SUM(AW2:AW7)</f>
        <v>0</v>
      </c>
      <c r="AY18">
        <f>SUM(AX2:AX7)</f>
        <v>1</v>
      </c>
    </row>
    <row r="19" spans="1:51" x14ac:dyDescent="0.3">
      <c r="B19">
        <f>B18/32</f>
        <v>0</v>
      </c>
      <c r="C19">
        <f t="shared" ref="C19:AY19" si="3">C18/32</f>
        <v>0</v>
      </c>
      <c r="D19">
        <f t="shared" si="3"/>
        <v>3.125E-2</v>
      </c>
      <c r="E19">
        <f t="shared" si="3"/>
        <v>0</v>
      </c>
      <c r="F19">
        <f t="shared" si="3"/>
        <v>3.125E-2</v>
      </c>
      <c r="G19">
        <f t="shared" si="3"/>
        <v>3.125E-2</v>
      </c>
      <c r="H19">
        <f t="shared" si="3"/>
        <v>0</v>
      </c>
      <c r="I19">
        <f t="shared" si="3"/>
        <v>0</v>
      </c>
      <c r="J19">
        <f t="shared" si="3"/>
        <v>0</v>
      </c>
      <c r="K19">
        <f t="shared" si="3"/>
        <v>3.125E-2</v>
      </c>
      <c r="L19">
        <f t="shared" si="3"/>
        <v>0</v>
      </c>
      <c r="M19">
        <f t="shared" si="3"/>
        <v>0</v>
      </c>
      <c r="N19">
        <f t="shared" si="3"/>
        <v>3.125E-2</v>
      </c>
      <c r="O19">
        <f t="shared" si="3"/>
        <v>3.125E-2</v>
      </c>
      <c r="P19">
        <f t="shared" si="3"/>
        <v>0</v>
      </c>
      <c r="Q19">
        <f t="shared" si="3"/>
        <v>6.25E-2</v>
      </c>
      <c r="R19">
        <f t="shared" si="3"/>
        <v>3.125E-2</v>
      </c>
      <c r="S19">
        <f t="shared" si="3"/>
        <v>0</v>
      </c>
      <c r="T19">
        <f t="shared" si="3"/>
        <v>3.125E-2</v>
      </c>
      <c r="U19">
        <f t="shared" si="3"/>
        <v>0</v>
      </c>
      <c r="V19">
        <f t="shared" si="3"/>
        <v>3.125E-2</v>
      </c>
      <c r="W19">
        <f t="shared" si="3"/>
        <v>3.125E-2</v>
      </c>
      <c r="X19">
        <f t="shared" si="3"/>
        <v>0</v>
      </c>
      <c r="Y19">
        <f t="shared" si="3"/>
        <v>3.125E-2</v>
      </c>
      <c r="Z19">
        <f t="shared" si="3"/>
        <v>3.125E-2</v>
      </c>
      <c r="AA19">
        <f t="shared" si="3"/>
        <v>0</v>
      </c>
      <c r="AB19">
        <f t="shared" si="3"/>
        <v>3.125E-2</v>
      </c>
      <c r="AC19">
        <f t="shared" si="3"/>
        <v>3.125E-2</v>
      </c>
      <c r="AD19">
        <f t="shared" si="3"/>
        <v>0</v>
      </c>
      <c r="AE19">
        <f t="shared" si="3"/>
        <v>3.125E-2</v>
      </c>
      <c r="AF19">
        <f t="shared" si="3"/>
        <v>3.125E-2</v>
      </c>
      <c r="AG19">
        <f t="shared" si="3"/>
        <v>3.125E-2</v>
      </c>
      <c r="AH19">
        <f t="shared" si="3"/>
        <v>3.125E-2</v>
      </c>
      <c r="AI19">
        <f t="shared" si="3"/>
        <v>3.125E-2</v>
      </c>
      <c r="AJ19">
        <f t="shared" si="3"/>
        <v>3.125E-2</v>
      </c>
      <c r="AK19">
        <f t="shared" si="3"/>
        <v>0</v>
      </c>
      <c r="AL19">
        <f t="shared" si="3"/>
        <v>3.125E-2</v>
      </c>
      <c r="AM19">
        <f t="shared" si="3"/>
        <v>3.125E-2</v>
      </c>
      <c r="AN19">
        <f t="shared" si="3"/>
        <v>0</v>
      </c>
      <c r="AO19">
        <f t="shared" si="3"/>
        <v>3.125E-2</v>
      </c>
      <c r="AP19">
        <f t="shared" si="3"/>
        <v>0</v>
      </c>
      <c r="AQ19">
        <f t="shared" si="3"/>
        <v>3.125E-2</v>
      </c>
      <c r="AR19">
        <f t="shared" si="3"/>
        <v>3.125E-2</v>
      </c>
      <c r="AS19">
        <f t="shared" si="3"/>
        <v>3.125E-2</v>
      </c>
      <c r="AT19">
        <f t="shared" si="3"/>
        <v>3.125E-2</v>
      </c>
      <c r="AU19">
        <f t="shared" si="3"/>
        <v>0</v>
      </c>
      <c r="AV19">
        <f t="shared" si="3"/>
        <v>3.125E-2</v>
      </c>
      <c r="AW19">
        <f t="shared" si="3"/>
        <v>0</v>
      </c>
      <c r="AX19">
        <f t="shared" si="3"/>
        <v>0</v>
      </c>
      <c r="AY19">
        <f t="shared" si="3"/>
        <v>3.125E-2</v>
      </c>
    </row>
    <row r="20" spans="1:51" x14ac:dyDescent="0.3">
      <c r="A20" t="s">
        <v>66</v>
      </c>
      <c r="B20">
        <f>(B18 + 1)/ (21+50)</f>
        <v>1.4084507042253521E-2</v>
      </c>
      <c r="C20">
        <f t="shared" ref="C20:AZ20" si="4">(C18 + 1)/ (21+50)</f>
        <v>1.4084507042253521E-2</v>
      </c>
      <c r="D20">
        <f t="shared" si="4"/>
        <v>2.8169014084507043E-2</v>
      </c>
      <c r="E20">
        <f t="shared" si="4"/>
        <v>1.4084507042253521E-2</v>
      </c>
      <c r="F20">
        <f t="shared" si="4"/>
        <v>2.8169014084507043E-2</v>
      </c>
      <c r="G20">
        <f t="shared" si="4"/>
        <v>2.8169014084507043E-2</v>
      </c>
      <c r="H20">
        <f t="shared" si="4"/>
        <v>1.4084507042253521E-2</v>
      </c>
      <c r="I20">
        <f t="shared" si="4"/>
        <v>1.4084507042253521E-2</v>
      </c>
      <c r="J20">
        <f t="shared" si="4"/>
        <v>1.4084507042253521E-2</v>
      </c>
      <c r="K20">
        <f t="shared" si="4"/>
        <v>2.8169014084507043E-2</v>
      </c>
      <c r="L20">
        <f t="shared" si="4"/>
        <v>1.4084507042253521E-2</v>
      </c>
      <c r="M20">
        <f t="shared" si="4"/>
        <v>1.4084507042253521E-2</v>
      </c>
      <c r="N20">
        <f t="shared" si="4"/>
        <v>2.8169014084507043E-2</v>
      </c>
      <c r="O20">
        <f t="shared" si="4"/>
        <v>2.8169014084507043E-2</v>
      </c>
      <c r="P20">
        <f t="shared" si="4"/>
        <v>1.4084507042253521E-2</v>
      </c>
      <c r="Q20">
        <f t="shared" si="4"/>
        <v>4.2253521126760563E-2</v>
      </c>
      <c r="R20">
        <f t="shared" si="4"/>
        <v>2.8169014084507043E-2</v>
      </c>
      <c r="S20">
        <f t="shared" si="4"/>
        <v>1.4084507042253521E-2</v>
      </c>
      <c r="T20">
        <f t="shared" si="4"/>
        <v>2.8169014084507043E-2</v>
      </c>
      <c r="U20">
        <f t="shared" si="4"/>
        <v>1.4084507042253521E-2</v>
      </c>
      <c r="V20">
        <f t="shared" si="4"/>
        <v>2.8169014084507043E-2</v>
      </c>
      <c r="W20">
        <f t="shared" si="4"/>
        <v>2.8169014084507043E-2</v>
      </c>
      <c r="X20">
        <f t="shared" si="4"/>
        <v>1.4084507042253521E-2</v>
      </c>
      <c r="Y20">
        <f t="shared" si="4"/>
        <v>2.8169014084507043E-2</v>
      </c>
      <c r="Z20">
        <f t="shared" si="4"/>
        <v>2.8169014084507043E-2</v>
      </c>
      <c r="AA20">
        <f t="shared" si="4"/>
        <v>1.4084507042253521E-2</v>
      </c>
      <c r="AB20">
        <f t="shared" si="4"/>
        <v>2.8169014084507043E-2</v>
      </c>
      <c r="AC20">
        <f t="shared" si="4"/>
        <v>2.8169014084507043E-2</v>
      </c>
      <c r="AD20">
        <f t="shared" si="4"/>
        <v>1.4084507042253521E-2</v>
      </c>
      <c r="AE20">
        <f t="shared" si="4"/>
        <v>2.8169014084507043E-2</v>
      </c>
      <c r="AF20">
        <f t="shared" si="4"/>
        <v>2.8169014084507043E-2</v>
      </c>
      <c r="AG20">
        <f t="shared" si="4"/>
        <v>2.8169014084507043E-2</v>
      </c>
      <c r="AH20">
        <f t="shared" si="4"/>
        <v>2.8169014084507043E-2</v>
      </c>
      <c r="AI20">
        <f t="shared" si="4"/>
        <v>2.8169014084507043E-2</v>
      </c>
      <c r="AJ20">
        <f t="shared" si="4"/>
        <v>2.8169014084507043E-2</v>
      </c>
      <c r="AK20">
        <f t="shared" si="4"/>
        <v>1.4084507042253521E-2</v>
      </c>
      <c r="AL20">
        <f t="shared" si="4"/>
        <v>2.8169014084507043E-2</v>
      </c>
      <c r="AM20">
        <f t="shared" si="4"/>
        <v>2.8169014084507043E-2</v>
      </c>
      <c r="AN20">
        <f t="shared" si="4"/>
        <v>1.4084507042253521E-2</v>
      </c>
      <c r="AO20">
        <f t="shared" si="4"/>
        <v>2.8169014084507043E-2</v>
      </c>
      <c r="AP20">
        <f t="shared" si="4"/>
        <v>1.4084507042253521E-2</v>
      </c>
      <c r="AQ20">
        <f t="shared" si="4"/>
        <v>2.8169014084507043E-2</v>
      </c>
      <c r="AR20">
        <f t="shared" si="4"/>
        <v>2.8169014084507043E-2</v>
      </c>
      <c r="AS20">
        <f t="shared" si="4"/>
        <v>2.8169014084507043E-2</v>
      </c>
      <c r="AT20">
        <f t="shared" si="4"/>
        <v>2.8169014084507043E-2</v>
      </c>
      <c r="AU20">
        <f t="shared" si="4"/>
        <v>1.4084507042253521E-2</v>
      </c>
      <c r="AV20">
        <f t="shared" si="4"/>
        <v>2.8169014084507043E-2</v>
      </c>
      <c r="AW20">
        <f t="shared" si="4"/>
        <v>1.4084507042253521E-2</v>
      </c>
      <c r="AX20">
        <f t="shared" si="4"/>
        <v>1.4084507042253521E-2</v>
      </c>
      <c r="AY20">
        <f t="shared" si="4"/>
        <v>2.8169014084507043E-2</v>
      </c>
    </row>
    <row r="28" spans="1:51" x14ac:dyDescent="0.3">
      <c r="A28" t="s">
        <v>62</v>
      </c>
      <c r="B28">
        <f>B18/32</f>
        <v>0</v>
      </c>
    </row>
    <row r="29" spans="1:51" x14ac:dyDescent="0.3">
      <c r="A29">
        <v>7</v>
      </c>
      <c r="B29">
        <v>32</v>
      </c>
    </row>
    <row r="30" spans="1:51" x14ac:dyDescent="0.3">
      <c r="A30">
        <v>5</v>
      </c>
    </row>
    <row r="31" spans="1:51" x14ac:dyDescent="0.3">
      <c r="A31">
        <v>5</v>
      </c>
    </row>
    <row r="32" spans="1:51" x14ac:dyDescent="0.3">
      <c r="A32">
        <v>5</v>
      </c>
    </row>
    <row r="33" spans="1:2" x14ac:dyDescent="0.3">
      <c r="A33">
        <v>5</v>
      </c>
    </row>
    <row r="34" spans="1:2" x14ac:dyDescent="0.3">
      <c r="A34">
        <v>5</v>
      </c>
    </row>
    <row r="35" spans="1:2" x14ac:dyDescent="0.3">
      <c r="A35">
        <v>5</v>
      </c>
      <c r="B35">
        <v>21</v>
      </c>
    </row>
    <row r="36" spans="1:2" x14ac:dyDescent="0.3">
      <c r="A36">
        <v>5</v>
      </c>
    </row>
    <row r="37" spans="1:2" x14ac:dyDescent="0.3">
      <c r="A37">
        <v>6</v>
      </c>
    </row>
    <row r="38" spans="1:2" x14ac:dyDescent="0.3">
      <c r="A38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4130-4A9A-BA4D-A544-F90364266DBA}">
  <dimension ref="A1"/>
  <sheetViews>
    <sheetView workbookViewId="0"/>
  </sheetViews>
  <sheetFormatPr defaultColWidth="11.19921875" defaultRowHeight="15.6" x14ac:dyDescent="0.3"/>
  <cols>
    <col min="1" max="1" width="68" customWidth="1"/>
  </cols>
  <sheetData>
    <row r="1" spans="1:1" ht="91.05" customHeight="1" x14ac:dyDescent="0.3">
      <c r="A1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dataset</vt:lpstr>
      <vt:lpstr>bag of words</vt:lpstr>
      <vt:lpstr>stop 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 Abigail Ambita</dc:creator>
  <cp:lastModifiedBy>Andrea Laserna</cp:lastModifiedBy>
  <dcterms:created xsi:type="dcterms:W3CDTF">2026-03-01T13:43:10Z</dcterms:created>
  <dcterms:modified xsi:type="dcterms:W3CDTF">2026-03-03T03:27:41Z</dcterms:modified>
</cp:coreProperties>
</file>